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.aon.net/personal/kareena_gaba_aon_com/Documents/Documents/VBA ADVANCE PROJECT/"/>
    </mc:Choice>
  </mc:AlternateContent>
  <xr:revisionPtr revIDLastSave="823" documentId="8_{44403D11-F165-4A52-B158-C240D1807418}" xr6:coauthVersionLast="47" xr6:coauthVersionMax="47" xr10:uidLastSave="{DB3357A8-2563-4727-96CF-04EE10E5BD6A}"/>
  <bookViews>
    <workbookView xWindow="-110" yWindow="-110" windowWidth="19420" windowHeight="10300" tabRatio="847" xr2:uid="{667F9318-0E0D-481D-80F0-902880298445}"/>
  </bookViews>
  <sheets>
    <sheet name="Email" sheetId="2" r:id="rId1"/>
    <sheet name="Greetings" sheetId="1" r:id="rId2"/>
    <sheet name="Managers" sheetId="3" r:id="rId3"/>
    <sheet name="Employees" sheetId="4" r:id="rId4"/>
    <sheet name="New Hires" sheetId="5" r:id="rId5"/>
    <sheet name="Custom" sheetId="6" r:id="rId6"/>
    <sheet name="Daily Task" sheetId="7" r:id="rId7"/>
    <sheet name="Payslip" sheetId="8" state="hidden" r:id="rId8"/>
    <sheet name="Employee Data" sheetId="9" state="hidden" r:id="rId9"/>
    <sheet name="Template" sheetId="10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10" l="1"/>
  <c r="E17" i="10"/>
  <c r="E14" i="10"/>
  <c r="E15" i="10"/>
  <c r="E13" i="10"/>
  <c r="C14" i="10"/>
  <c r="C15" i="10"/>
  <c r="C16" i="10"/>
  <c r="C17" i="10"/>
  <c r="C13" i="10"/>
  <c r="D6" i="10"/>
  <c r="D7" i="10"/>
  <c r="D8" i="10"/>
  <c r="D5" i="10"/>
  <c r="A2" i="8"/>
  <c r="C18" i="10" l="1"/>
  <c r="E18" i="10"/>
  <c r="D22" i="10" l="1"/>
  <c r="F3" i="6"/>
  <c r="F4" i="6"/>
  <c r="F5" i="6"/>
  <c r="F2" i="6"/>
</calcChain>
</file>

<file path=xl/sharedStrings.xml><?xml version="1.0" encoding="utf-8"?>
<sst xmlns="http://schemas.openxmlformats.org/spreadsheetml/2006/main" count="241" uniqueCount="120">
  <si>
    <t>Name</t>
  </si>
  <si>
    <t>Email</t>
  </si>
  <si>
    <t>Status</t>
  </si>
  <si>
    <t>No.</t>
  </si>
  <si>
    <t>Email Group</t>
  </si>
  <si>
    <t>Button Click</t>
  </si>
  <si>
    <t>Email List - Greetings</t>
  </si>
  <si>
    <t>Email List - Managers</t>
  </si>
  <si>
    <t>Email List - Employees</t>
  </si>
  <si>
    <t>Email List - New Hires</t>
  </si>
  <si>
    <t>CC</t>
  </si>
  <si>
    <t>BCC</t>
  </si>
  <si>
    <t>Subject</t>
  </si>
  <si>
    <t>Email Body</t>
  </si>
  <si>
    <t>Attachments</t>
  </si>
  <si>
    <t>A</t>
  </si>
  <si>
    <t>B</t>
  </si>
  <si>
    <t>C</t>
  </si>
  <si>
    <t>D</t>
  </si>
  <si>
    <t>E@gmail.com</t>
  </si>
  <si>
    <t>A@gmail.com</t>
  </si>
  <si>
    <t>B@gmail.com</t>
  </si>
  <si>
    <t>C@gmail.com</t>
  </si>
  <si>
    <t>D@gmail.com</t>
  </si>
  <si>
    <t>F@gmail.com</t>
  </si>
  <si>
    <t>MOM</t>
  </si>
  <si>
    <t>C:\Users\a0840143\OneDrive - Aon\Documents\VBA ADVANCE PROJECT\EXCEL.xlsx</t>
  </si>
  <si>
    <t>Email List - Custom</t>
  </si>
  <si>
    <t>NAME</t>
  </si>
  <si>
    <t>WEEK</t>
  </si>
  <si>
    <t>KPI</t>
  </si>
  <si>
    <t>E</t>
  </si>
  <si>
    <t>F</t>
  </si>
  <si>
    <t>G</t>
  </si>
  <si>
    <t>Week 01</t>
  </si>
  <si>
    <t>Week 02</t>
  </si>
  <si>
    <t>Week 03</t>
  </si>
  <si>
    <t>Week 04</t>
  </si>
  <si>
    <t>Week 05</t>
  </si>
  <si>
    <t>Week 06</t>
  </si>
  <si>
    <t>Week 07</t>
  </si>
  <si>
    <t>Task</t>
  </si>
  <si>
    <t>Deadline</t>
  </si>
  <si>
    <t>Task 01</t>
  </si>
  <si>
    <t>Task 02</t>
  </si>
  <si>
    <t>Task 03</t>
  </si>
  <si>
    <t>Task 04</t>
  </si>
  <si>
    <t>Task 05</t>
  </si>
  <si>
    <t>Task 06</t>
  </si>
  <si>
    <t>Task 07</t>
  </si>
  <si>
    <t>G@gmail.com</t>
  </si>
  <si>
    <t>Email List - Daily Task</t>
  </si>
  <si>
    <t>January 2025</t>
  </si>
  <si>
    <t>Designation</t>
  </si>
  <si>
    <t>Department</t>
  </si>
  <si>
    <t>Email ID</t>
  </si>
  <si>
    <t>Email Status</t>
  </si>
  <si>
    <t>House Rent Allowance</t>
  </si>
  <si>
    <t>Deductions</t>
  </si>
  <si>
    <t>Salary Slip</t>
  </si>
  <si>
    <t>Employee ID</t>
  </si>
  <si>
    <t>Employee Name</t>
  </si>
  <si>
    <t>Date of Joining</t>
  </si>
  <si>
    <t>Salary Month</t>
  </si>
  <si>
    <t>Earnings</t>
  </si>
  <si>
    <t>Basic Salary</t>
  </si>
  <si>
    <t>Tax Deductions</t>
  </si>
  <si>
    <t>Provident Fund</t>
  </si>
  <si>
    <t>Conveyance Allowance</t>
  </si>
  <si>
    <t>Health Insurance</t>
  </si>
  <si>
    <t>Special Allowance</t>
  </si>
  <si>
    <t>Loan Deductions</t>
  </si>
  <si>
    <t>Other Allowance</t>
  </si>
  <si>
    <t>Other Deductions</t>
  </si>
  <si>
    <t>Total Earnings</t>
  </si>
  <si>
    <t>Total Deductions</t>
  </si>
  <si>
    <t>Net Payable Salary</t>
  </si>
  <si>
    <t>Net Salary</t>
  </si>
  <si>
    <t>Benefit Processor</t>
  </si>
  <si>
    <t>Krista Orcutt</t>
  </si>
  <si>
    <t>Cora Soto</t>
  </si>
  <si>
    <t>James Millen</t>
  </si>
  <si>
    <t>Tara Applewhite</t>
  </si>
  <si>
    <t>Devin Lear</t>
  </si>
  <si>
    <t>Lucile Sexton</t>
  </si>
  <si>
    <t>Jarrod Faith</t>
  </si>
  <si>
    <t>Terry Gross</t>
  </si>
  <si>
    <t>Jim Martin</t>
  </si>
  <si>
    <t>Kathy Weatherby</t>
  </si>
  <si>
    <t>Data Analyst</t>
  </si>
  <si>
    <t>Consultant</t>
  </si>
  <si>
    <t>Manager</t>
  </si>
  <si>
    <t>Director</t>
  </si>
  <si>
    <t>IT</t>
  </si>
  <si>
    <t>Operations</t>
  </si>
  <si>
    <t>Marketing</t>
  </si>
  <si>
    <t>krista.orcutt@abc.com</t>
  </si>
  <si>
    <t>cora.soto@abc.com</t>
  </si>
  <si>
    <t>james.millen@abc.com</t>
  </si>
  <si>
    <t>devin.lear@abc.com</t>
  </si>
  <si>
    <t>lucile.sexton@abc.com</t>
  </si>
  <si>
    <t>terry.gross@abc.com</t>
  </si>
  <si>
    <t>jim.martin@abc.com</t>
  </si>
  <si>
    <t>tara.apple@abc.com</t>
  </si>
  <si>
    <t>jarrof.f@abc.com</t>
  </si>
  <si>
    <t>kathy.w@abc.com</t>
  </si>
  <si>
    <t>EMP001</t>
  </si>
  <si>
    <t>EMP002</t>
  </si>
  <si>
    <t>EMP003</t>
  </si>
  <si>
    <t>EMP004</t>
  </si>
  <si>
    <t>EMP005</t>
  </si>
  <si>
    <t>EMP006</t>
  </si>
  <si>
    <t>EMP007</t>
  </si>
  <si>
    <t>EMP008</t>
  </si>
  <si>
    <t>EMP009</t>
  </si>
  <si>
    <t>EMP010</t>
  </si>
  <si>
    <t>EMP ID</t>
  </si>
  <si>
    <t>Folder Path</t>
  </si>
  <si>
    <t>C:\Users\a0840143\OneDrive - Aon\Desktop\New folder\New folder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</si>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</sst>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9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F9ED5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61CBF3"/>
      </left>
      <right style="thin">
        <color rgb="FF61CBF3"/>
      </right>
      <top style="thin">
        <color rgb="FF61CBF3"/>
      </top>
      <bottom style="thin">
        <color rgb="FF61CBF3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0" fontId="5" fillId="0" borderId="1" applyNumberFormat="0" applyFill="0" applyAlignment="0" applyProtection="0"/>
  </cellStyleXfs>
  <cellXfs count="50">
    <xf numFmtId="0" fontId="0" fillId="0" borderId="0" xfId="0"/>
    <xf numFmtId="0" fontId="1" fillId="0" borderId="0" xfId="1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2" fillId="2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9" fontId="0" fillId="0" borderId="2" xfId="0" applyNumberFormat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9" fontId="0" fillId="0" borderId="10" xfId="0" applyNumberFormat="1" applyBorder="1" applyAlignment="1">
      <alignment horizontal="center"/>
    </xf>
    <xf numFmtId="15" fontId="0" fillId="0" borderId="7" xfId="0" applyNumberFormat="1" applyBorder="1" applyAlignment="1">
      <alignment horizontal="center"/>
    </xf>
    <xf numFmtId="15" fontId="0" fillId="0" borderId="10" xfId="0" applyNumberFormat="1" applyBorder="1" applyAlignment="1">
      <alignment horizontal="center"/>
    </xf>
    <xf numFmtId="49" fontId="7" fillId="3" borderId="0" xfId="0" applyNumberFormat="1" applyFont="1" applyFill="1" applyAlignment="1">
      <alignment horizontal="center"/>
    </xf>
    <xf numFmtId="0" fontId="8" fillId="0" borderId="0" xfId="0" applyFont="1"/>
    <xf numFmtId="0" fontId="9" fillId="5" borderId="0" xfId="0" applyFont="1" applyFill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5" fillId="0" borderId="1" xfId="3" applyFill="1" applyAlignment="1">
      <alignment horizontal="center" vertical="center"/>
    </xf>
    <xf numFmtId="0" fontId="12" fillId="7" borderId="11" xfId="0" applyFont="1" applyFill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0" fillId="0" borderId="0" xfId="0" applyFont="1" applyAlignment="1">
      <alignment horizontal="left"/>
    </xf>
    <xf numFmtId="0" fontId="14" fillId="0" borderId="0" xfId="0" applyFont="1" applyFill="1" applyBorder="1" applyAlignment="1">
      <alignment horizontal="left"/>
    </xf>
    <xf numFmtId="0" fontId="0" fillId="0" borderId="0" xfId="0" applyFill="1" applyAlignment="1">
      <alignment horizontal="left"/>
    </xf>
    <xf numFmtId="1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4" fillId="0" borderId="1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11" fillId="0" borderId="12" xfId="0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17" fontId="11" fillId="0" borderId="11" xfId="0" applyNumberFormat="1" applyFon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2" fontId="11" fillId="0" borderId="11" xfId="0" applyNumberFormat="1" applyFont="1" applyBorder="1" applyAlignment="1">
      <alignment horizontal="center" vertical="center"/>
    </xf>
    <xf numFmtId="2" fontId="5" fillId="0" borderId="1" xfId="2" applyNumberFormat="1" applyFont="1" applyFill="1" applyBorder="1" applyAlignment="1">
      <alignment horizontal="center" vertical="center"/>
    </xf>
    <xf numFmtId="2" fontId="13" fillId="0" borderId="11" xfId="2" applyNumberFormat="1" applyFont="1" applyFill="1" applyBorder="1" applyAlignment="1">
      <alignment horizontal="center" vertical="center" wrapText="1"/>
    </xf>
    <xf numFmtId="0" fontId="0" fillId="0" borderId="2" xfId="0" applyBorder="1"/>
    <xf numFmtId="0" fontId="3" fillId="2" borderId="2" xfId="0" applyFont="1" applyFill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vertical="center"/>
    </xf>
  </cellXfs>
  <cellStyles count="4">
    <cellStyle name="Currency" xfId="2" builtinId="4"/>
    <cellStyle name="Hyperlink" xfId="1" builtinId="8"/>
    <cellStyle name="Normal" xfId="0" builtinId="0"/>
    <cellStyle name="Total" xfId="3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120650</xdr:colOff>
      <xdr:row>1</xdr:row>
      <xdr:rowOff>76200</xdr:rowOff>
    </xdr:from>
    <xdr:to>
      <xdr:col>2</xdr:col>
      <xdr:colOff>1295400</xdr:colOff>
      <xdr:row>1</xdr:row>
      <xdr:rowOff>336550</xdr:rowOff>
    </xdr:to>
    <xdr:sp macro="[0]!Start_Email_Greetings" textlink="">
      <xdr:nvSpPr>
        <xdr:cNvPr id="2" name="Rectangle 1">
          <a:extLst>
            <a:ext uri="{FF2B5EF4-FFF2-40B4-BE49-F238E27FC236}">
              <a16:creationId xmlns:a16="http://schemas.microsoft.com/office/drawing/2014/main" id="{59FC3EB0-B393-85FB-3D5E-559E1A3FC59C}"/>
            </a:ext>
          </a:extLst>
        </xdr:cNvPr>
        <xdr:cNvSpPr/>
      </xdr:nvSpPr>
      <xdr:spPr>
        <a:xfrm>
          <a:off x="4140200" y="311150"/>
          <a:ext cx="1174750" cy="2603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EMAIL</a:t>
          </a:r>
          <a:endParaRPr lang="en-IN" sz="1100" b="1"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2</xdr:col>
      <xdr:colOff>127000</xdr:colOff>
      <xdr:row>2</xdr:row>
      <xdr:rowOff>63500</xdr:rowOff>
    </xdr:from>
    <xdr:to>
      <xdr:col>2</xdr:col>
      <xdr:colOff>1301750</xdr:colOff>
      <xdr:row>2</xdr:row>
      <xdr:rowOff>323850</xdr:rowOff>
    </xdr:to>
    <xdr:sp macro="[0]!Start_Email_Managers" textlink="">
      <xdr:nvSpPr>
        <xdr:cNvPr id="3" name="Rectangle 2">
          <a:extLst>
            <a:ext uri="{FF2B5EF4-FFF2-40B4-BE49-F238E27FC236}">
              <a16:creationId xmlns:a16="http://schemas.microsoft.com/office/drawing/2014/main" id="{9A693251-E047-40E0-9EBF-E80B7FB46265}"/>
            </a:ext>
          </a:extLst>
        </xdr:cNvPr>
        <xdr:cNvSpPr/>
      </xdr:nvSpPr>
      <xdr:spPr>
        <a:xfrm>
          <a:off x="4146550" y="685800"/>
          <a:ext cx="1174750" cy="2603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EMAIL</a:t>
          </a:r>
          <a:endParaRPr lang="en-IN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2</xdr:col>
      <xdr:colOff>127000</xdr:colOff>
      <xdr:row>3</xdr:row>
      <xdr:rowOff>82550</xdr:rowOff>
    </xdr:from>
    <xdr:to>
      <xdr:col>2</xdr:col>
      <xdr:colOff>1301750</xdr:colOff>
      <xdr:row>3</xdr:row>
      <xdr:rowOff>342900</xdr:rowOff>
    </xdr:to>
    <xdr:sp macro="[0]!Start_Email_Employees" textlink="">
      <xdr:nvSpPr>
        <xdr:cNvPr id="4" name="Rectangle 3">
          <a:extLst>
            <a:ext uri="{FF2B5EF4-FFF2-40B4-BE49-F238E27FC236}">
              <a16:creationId xmlns:a16="http://schemas.microsoft.com/office/drawing/2014/main" id="{27D50328-FA18-451E-BE3B-E2BD9772BBFB}"/>
            </a:ext>
          </a:extLst>
        </xdr:cNvPr>
        <xdr:cNvSpPr/>
      </xdr:nvSpPr>
      <xdr:spPr>
        <a:xfrm>
          <a:off x="4146550" y="1092200"/>
          <a:ext cx="1174750" cy="2603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EMAIL</a:t>
          </a:r>
          <a:endParaRPr lang="en-IN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2</xdr:col>
      <xdr:colOff>114300</xdr:colOff>
      <xdr:row>4</xdr:row>
      <xdr:rowOff>69850</xdr:rowOff>
    </xdr:from>
    <xdr:to>
      <xdr:col>2</xdr:col>
      <xdr:colOff>1289050</xdr:colOff>
      <xdr:row>4</xdr:row>
      <xdr:rowOff>330200</xdr:rowOff>
    </xdr:to>
    <xdr:sp macro="[0]!Start_Email_New_Hires" textlink="">
      <xdr:nvSpPr>
        <xdr:cNvPr id="5" name="Rectangle 4">
          <a:extLst>
            <a:ext uri="{FF2B5EF4-FFF2-40B4-BE49-F238E27FC236}">
              <a16:creationId xmlns:a16="http://schemas.microsoft.com/office/drawing/2014/main" id="{A102D8E7-0F86-499C-B9F4-40A57AFFC094}"/>
            </a:ext>
          </a:extLst>
        </xdr:cNvPr>
        <xdr:cNvSpPr/>
      </xdr:nvSpPr>
      <xdr:spPr>
        <a:xfrm>
          <a:off x="4133850" y="1466850"/>
          <a:ext cx="1174750" cy="2603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EMAIL</a:t>
          </a:r>
          <a:endParaRPr lang="en-IN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2</xdr:col>
      <xdr:colOff>114300</xdr:colOff>
      <xdr:row>5</xdr:row>
      <xdr:rowOff>69850</xdr:rowOff>
    </xdr:from>
    <xdr:to>
      <xdr:col>2</xdr:col>
      <xdr:colOff>1289050</xdr:colOff>
      <xdr:row>5</xdr:row>
      <xdr:rowOff>330200</xdr:rowOff>
    </xdr:to>
    <xdr:sp macro="[0]!Send_Email_Custom" textlink="">
      <xdr:nvSpPr>
        <xdr:cNvPr id="6" name="Rectangle 5">
          <a:extLst>
            <a:ext uri="{FF2B5EF4-FFF2-40B4-BE49-F238E27FC236}">
              <a16:creationId xmlns:a16="http://schemas.microsoft.com/office/drawing/2014/main" id="{E09A11E5-9941-4A14-852D-F3322164425B}"/>
            </a:ext>
          </a:extLst>
        </xdr:cNvPr>
        <xdr:cNvSpPr/>
      </xdr:nvSpPr>
      <xdr:spPr>
        <a:xfrm>
          <a:off x="4133850" y="1466850"/>
          <a:ext cx="1174750" cy="26035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EMAIL</a:t>
          </a:r>
          <a:endParaRPr lang="en-IN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>
    <xdr:from>
      <xdr:col>2</xdr:col>
      <xdr:colOff>114300</xdr:colOff>
      <xdr:row>6</xdr:row>
      <xdr:rowOff>69850</xdr:rowOff>
    </xdr:from>
    <xdr:to>
      <xdr:col>2</xdr:col>
      <xdr:colOff>1289050</xdr:colOff>
      <xdr:row>6</xdr:row>
      <xdr:rowOff>330200</xdr:rowOff>
    </xdr:to>
    <xdr:sp macro="[0]!Daily_Task" textlink="">
      <xdr:nvSpPr>
        <xdr:cNvPr id="7" name="Rectangle 6">
          <a:extLst>
            <a:ext uri="{FF2B5EF4-FFF2-40B4-BE49-F238E27FC236}">
              <a16:creationId xmlns:a16="http://schemas.microsoft.com/office/drawing/2014/main" id="{CD849264-6155-4AB5-89F9-62F638A13023}"/>
            </a:ext>
          </a:extLst>
        </xdr:cNvPr>
        <xdr:cNvSpPr/>
      </xdr:nvSpPr>
      <xdr:spPr>
        <a:xfrm>
          <a:off x="4133850" y="1854200"/>
          <a:ext cx="1174750" cy="2603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EMAIL</a:t>
          </a:r>
          <a:endParaRPr lang="en-IN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DLaM Display" panose="02010000000000000000" pitchFamily="2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1905000</xdr:colOff>
      <xdr:row>4</xdr:row>
      <xdr:rowOff>107950</xdr:rowOff>
    </xdr:from>
    <xdr:to>
      <xdr:col>0</xdr:col>
      <xdr:colOff>3613150</xdr:colOff>
      <xdr:row>6</xdr:row>
      <xdr:rowOff>95250</xdr:rowOff>
    </xdr:to>
    <xdr:sp macro="[0]!Create_Salary_Slips" textlink="">
      <xdr:nvSpPr>
        <xdr:cNvPr id="2" name="Rectangle 1">
          <a:extLst>
            <a:ext uri="{FF2B5EF4-FFF2-40B4-BE49-F238E27FC236}">
              <a16:creationId xmlns:a16="http://schemas.microsoft.com/office/drawing/2014/main" id="{9E487C22-A597-AF9E-BE36-B5ABE122362D}"/>
            </a:ext>
          </a:extLst>
        </xdr:cNvPr>
        <xdr:cNvSpPr/>
      </xdr:nvSpPr>
      <xdr:spPr>
        <a:xfrm>
          <a:off x="1905000" y="1136650"/>
          <a:ext cx="1708150" cy="3556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800" b="1"/>
            <a:t>Email</a:t>
          </a:r>
        </a:p>
        <a:p>
          <a:pPr algn="l"/>
          <a:endParaRPr lang="en-IN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C@gmail.com" TargetMode="External"/><Relationship Id="rId7" Type="http://schemas.openxmlformats.org/officeDocument/2006/relationships/hyperlink" Target="mailto:G@gmail.com" TargetMode="External"/><Relationship Id="rId2" Type="http://schemas.openxmlformats.org/officeDocument/2006/relationships/hyperlink" Target="mailto:B@gmail.com" TargetMode="External"/><Relationship Id="rId1" Type="http://schemas.openxmlformats.org/officeDocument/2006/relationships/hyperlink" Target="mailto:A@gmail.com" TargetMode="External"/><Relationship Id="rId6" Type="http://schemas.openxmlformats.org/officeDocument/2006/relationships/hyperlink" Target="mailto:F@gmail.com" TargetMode="External"/><Relationship Id="rId5" Type="http://schemas.openxmlformats.org/officeDocument/2006/relationships/hyperlink" Target="mailto:E@gmail.com" TargetMode="External"/><Relationship Id="rId4" Type="http://schemas.openxmlformats.org/officeDocument/2006/relationships/hyperlink" Target="mailto:D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C@gmail.com" TargetMode="External"/><Relationship Id="rId7" Type="http://schemas.openxmlformats.org/officeDocument/2006/relationships/hyperlink" Target="mailto:G@gmail.com" TargetMode="External"/><Relationship Id="rId2" Type="http://schemas.openxmlformats.org/officeDocument/2006/relationships/hyperlink" Target="mailto:B@gmail.com" TargetMode="External"/><Relationship Id="rId1" Type="http://schemas.openxmlformats.org/officeDocument/2006/relationships/hyperlink" Target="mailto:A@gmail.com" TargetMode="External"/><Relationship Id="rId6" Type="http://schemas.openxmlformats.org/officeDocument/2006/relationships/hyperlink" Target="mailto:F@gmail.com" TargetMode="External"/><Relationship Id="rId5" Type="http://schemas.openxmlformats.org/officeDocument/2006/relationships/hyperlink" Target="mailto:E@gmail.com" TargetMode="External"/><Relationship Id="rId4" Type="http://schemas.openxmlformats.org/officeDocument/2006/relationships/hyperlink" Target="mailto:D@g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C@gmail.com" TargetMode="External"/><Relationship Id="rId7" Type="http://schemas.openxmlformats.org/officeDocument/2006/relationships/hyperlink" Target="mailto:G@gmail.com" TargetMode="External"/><Relationship Id="rId2" Type="http://schemas.openxmlformats.org/officeDocument/2006/relationships/hyperlink" Target="mailto:B@gmail.com" TargetMode="External"/><Relationship Id="rId1" Type="http://schemas.openxmlformats.org/officeDocument/2006/relationships/hyperlink" Target="mailto:A@gmail.com" TargetMode="External"/><Relationship Id="rId6" Type="http://schemas.openxmlformats.org/officeDocument/2006/relationships/hyperlink" Target="mailto:F@gmail.com" TargetMode="External"/><Relationship Id="rId5" Type="http://schemas.openxmlformats.org/officeDocument/2006/relationships/hyperlink" Target="mailto:E@gmail.com" TargetMode="External"/><Relationship Id="rId4" Type="http://schemas.openxmlformats.org/officeDocument/2006/relationships/hyperlink" Target="mailto:D@gmail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C@gmail.com" TargetMode="External"/><Relationship Id="rId7" Type="http://schemas.openxmlformats.org/officeDocument/2006/relationships/hyperlink" Target="mailto:G@gmail.com" TargetMode="External"/><Relationship Id="rId2" Type="http://schemas.openxmlformats.org/officeDocument/2006/relationships/hyperlink" Target="mailto:B@gmail.com" TargetMode="External"/><Relationship Id="rId1" Type="http://schemas.openxmlformats.org/officeDocument/2006/relationships/hyperlink" Target="mailto:A@gmail.com" TargetMode="External"/><Relationship Id="rId6" Type="http://schemas.openxmlformats.org/officeDocument/2006/relationships/hyperlink" Target="mailto:F@gmail.com" TargetMode="External"/><Relationship Id="rId5" Type="http://schemas.openxmlformats.org/officeDocument/2006/relationships/hyperlink" Target="mailto:E@gmail.com" TargetMode="External"/><Relationship Id="rId4" Type="http://schemas.openxmlformats.org/officeDocument/2006/relationships/hyperlink" Target="mailto:D@gmail.com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F@gmail.com" TargetMode="External"/><Relationship Id="rId3" Type="http://schemas.openxmlformats.org/officeDocument/2006/relationships/hyperlink" Target="mailto:B@gmail.com" TargetMode="External"/><Relationship Id="rId7" Type="http://schemas.openxmlformats.org/officeDocument/2006/relationships/hyperlink" Target="mailto:F@gmail.com" TargetMode="External"/><Relationship Id="rId2" Type="http://schemas.openxmlformats.org/officeDocument/2006/relationships/hyperlink" Target="mailto:A@gmail.com" TargetMode="External"/><Relationship Id="rId1" Type="http://schemas.openxmlformats.org/officeDocument/2006/relationships/hyperlink" Target="mailto:E@gmail.com" TargetMode="External"/><Relationship Id="rId6" Type="http://schemas.openxmlformats.org/officeDocument/2006/relationships/hyperlink" Target="mailto:E@gmail.com" TargetMode="External"/><Relationship Id="rId5" Type="http://schemas.openxmlformats.org/officeDocument/2006/relationships/hyperlink" Target="mailto:D@gmail.com" TargetMode="External"/><Relationship Id="rId4" Type="http://schemas.openxmlformats.org/officeDocument/2006/relationships/hyperlink" Target="mailto:C@gmail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952EB-018E-4B8D-966D-C53DBFC8E474}">
  <sheetPr codeName="Sheet2">
    <tabColor theme="4" tint="0.59999389629810485"/>
  </sheetPr>
  <dimension ref="A1:C7"/>
  <sheetViews>
    <sheetView tabSelected="1" workbookViewId="0">
      <selection activeCell="E5" sqref="E5"/>
    </sheetView>
  </sheetViews>
  <sheetFormatPr defaultRowHeight="14.5" x14ac:dyDescent="0.35"/>
  <cols>
    <col min="1" max="1" width="20.54296875" style="3" customWidth="1"/>
    <col min="2" max="2" width="37" customWidth="1"/>
    <col min="3" max="3" width="20.54296875" customWidth="1"/>
    <col min="4" max="16384" width="8.7265625" style="5"/>
  </cols>
  <sheetData>
    <row r="1" spans="1:3" ht="18.5" x14ac:dyDescent="0.45">
      <c r="A1" s="47" t="s">
        <v>3</v>
      </c>
      <c r="B1" s="47" t="s">
        <v>4</v>
      </c>
      <c r="C1" s="47" t="s">
        <v>5</v>
      </c>
    </row>
    <row r="2" spans="1:3" ht="30.5" customHeight="1" x14ac:dyDescent="0.35">
      <c r="A2" s="48">
        <v>1</v>
      </c>
      <c r="B2" s="49" t="s">
        <v>6</v>
      </c>
      <c r="C2" s="46"/>
    </row>
    <row r="3" spans="1:3" ht="30.5" customHeight="1" x14ac:dyDescent="0.35">
      <c r="A3" s="48">
        <v>2</v>
      </c>
      <c r="B3" s="49" t="s">
        <v>7</v>
      </c>
      <c r="C3" s="46"/>
    </row>
    <row r="4" spans="1:3" ht="30.5" customHeight="1" x14ac:dyDescent="0.35">
      <c r="A4" s="48">
        <v>3</v>
      </c>
      <c r="B4" s="49" t="s">
        <v>8</v>
      </c>
      <c r="C4" s="46"/>
    </row>
    <row r="5" spans="1:3" ht="30.5" customHeight="1" x14ac:dyDescent="0.35">
      <c r="A5" s="48">
        <v>4</v>
      </c>
      <c r="B5" s="49" t="s">
        <v>9</v>
      </c>
      <c r="C5" s="46"/>
    </row>
    <row r="6" spans="1:3" ht="30.5" customHeight="1" x14ac:dyDescent="0.35">
      <c r="A6" s="48">
        <v>5</v>
      </c>
      <c r="B6" s="49" t="s">
        <v>27</v>
      </c>
      <c r="C6" s="46"/>
    </row>
    <row r="7" spans="1:3" ht="30.5" customHeight="1" x14ac:dyDescent="0.35">
      <c r="A7" s="48">
        <v>6</v>
      </c>
      <c r="B7" s="49" t="s">
        <v>51</v>
      </c>
      <c r="C7" s="4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937F2-29FE-4972-8E94-D69FBCD03B25}">
  <sheetPr codeName="Sheet1"/>
  <dimension ref="A1:C8"/>
  <sheetViews>
    <sheetView workbookViewId="0">
      <selection activeCell="B15" sqref="B15"/>
    </sheetView>
  </sheetViews>
  <sheetFormatPr defaultRowHeight="14.5" x14ac:dyDescent="0.35"/>
  <cols>
    <col min="1" max="1" width="16.36328125" customWidth="1"/>
    <col min="2" max="3" width="29.1796875" customWidth="1"/>
  </cols>
  <sheetData>
    <row r="1" spans="1:3" x14ac:dyDescent="0.35">
      <c r="A1" s="6" t="s">
        <v>0</v>
      </c>
      <c r="B1" s="6" t="s">
        <v>1</v>
      </c>
      <c r="C1" s="6" t="s">
        <v>2</v>
      </c>
    </row>
    <row r="2" spans="1:3" x14ac:dyDescent="0.35">
      <c r="A2" s="7" t="s">
        <v>15</v>
      </c>
      <c r="B2" s="7" t="s">
        <v>20</v>
      </c>
      <c r="C2" s="8"/>
    </row>
    <row r="3" spans="1:3" x14ac:dyDescent="0.35">
      <c r="A3" s="7" t="s">
        <v>16</v>
      </c>
      <c r="B3" s="7" t="s">
        <v>21</v>
      </c>
      <c r="C3" s="8"/>
    </row>
    <row r="4" spans="1:3" x14ac:dyDescent="0.35">
      <c r="A4" s="7" t="s">
        <v>17</v>
      </c>
      <c r="B4" s="7" t="s">
        <v>22</v>
      </c>
      <c r="C4" s="8"/>
    </row>
    <row r="5" spans="1:3" x14ac:dyDescent="0.35">
      <c r="A5" s="7" t="s">
        <v>18</v>
      </c>
      <c r="B5" s="7" t="s">
        <v>23</v>
      </c>
      <c r="C5" s="8"/>
    </row>
    <row r="6" spans="1:3" x14ac:dyDescent="0.35">
      <c r="A6" s="7" t="s">
        <v>31</v>
      </c>
      <c r="B6" s="7" t="s">
        <v>19</v>
      </c>
      <c r="C6" s="8"/>
    </row>
    <row r="7" spans="1:3" x14ac:dyDescent="0.35">
      <c r="A7" s="7" t="s">
        <v>32</v>
      </c>
      <c r="B7" s="7" t="s">
        <v>24</v>
      </c>
      <c r="C7" s="8"/>
    </row>
    <row r="8" spans="1:3" x14ac:dyDescent="0.35">
      <c r="A8" s="7" t="s">
        <v>33</v>
      </c>
      <c r="B8" s="7" t="s">
        <v>50</v>
      </c>
      <c r="C8" s="8"/>
    </row>
  </sheetData>
  <hyperlinks>
    <hyperlink ref="B2" r:id="rId1" xr:uid="{E3CB5B7C-CA52-446B-8FF0-B0818A61C398}"/>
    <hyperlink ref="B3" r:id="rId2" xr:uid="{001B6347-736E-4697-B421-C945EFE224AF}"/>
    <hyperlink ref="B4" r:id="rId3" xr:uid="{D7CFD7D6-EDD9-4A21-BBE7-B816ACC44677}"/>
    <hyperlink ref="B5" r:id="rId4" xr:uid="{3A000BEF-BF84-41DB-826E-15B26AFC8E00}"/>
    <hyperlink ref="B6" r:id="rId5" xr:uid="{456D6AE0-203D-41B6-9030-F3E5CDE7B60B}"/>
    <hyperlink ref="B7" r:id="rId6" xr:uid="{151F196E-7583-4BC8-B690-89A4AF64926A}"/>
    <hyperlink ref="B8" r:id="rId7" xr:uid="{50D15FED-6311-4D7B-B618-4C2C8E4D063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20847-5A44-4FD2-985E-FBE02BAA0887}">
  <sheetPr codeName="Sheet3"/>
  <dimension ref="A1:C8"/>
  <sheetViews>
    <sheetView workbookViewId="0">
      <selection activeCell="B15" sqref="B15"/>
    </sheetView>
  </sheetViews>
  <sheetFormatPr defaultRowHeight="14.5" x14ac:dyDescent="0.35"/>
  <cols>
    <col min="1" max="1" width="16.36328125" customWidth="1"/>
    <col min="2" max="3" width="29.1796875" customWidth="1"/>
  </cols>
  <sheetData>
    <row r="1" spans="1:3" x14ac:dyDescent="0.35">
      <c r="A1" s="6" t="s">
        <v>0</v>
      </c>
      <c r="B1" s="6" t="s">
        <v>1</v>
      </c>
      <c r="C1" s="6" t="s">
        <v>2</v>
      </c>
    </row>
    <row r="2" spans="1:3" x14ac:dyDescent="0.35">
      <c r="A2" s="7" t="s">
        <v>15</v>
      </c>
      <c r="B2" s="7" t="s">
        <v>20</v>
      </c>
      <c r="C2" s="8"/>
    </row>
    <row r="3" spans="1:3" x14ac:dyDescent="0.35">
      <c r="A3" s="7" t="s">
        <v>16</v>
      </c>
      <c r="B3" s="7" t="s">
        <v>21</v>
      </c>
      <c r="C3" s="8"/>
    </row>
    <row r="4" spans="1:3" x14ac:dyDescent="0.35">
      <c r="A4" s="7" t="s">
        <v>17</v>
      </c>
      <c r="B4" s="7" t="s">
        <v>22</v>
      </c>
      <c r="C4" s="8"/>
    </row>
    <row r="5" spans="1:3" x14ac:dyDescent="0.35">
      <c r="A5" s="7" t="s">
        <v>18</v>
      </c>
      <c r="B5" s="7" t="s">
        <v>23</v>
      </c>
      <c r="C5" s="8"/>
    </row>
    <row r="6" spans="1:3" x14ac:dyDescent="0.35">
      <c r="A6" s="7" t="s">
        <v>31</v>
      </c>
      <c r="B6" s="7" t="s">
        <v>19</v>
      </c>
      <c r="C6" s="8"/>
    </row>
    <row r="7" spans="1:3" x14ac:dyDescent="0.35">
      <c r="A7" s="7" t="s">
        <v>32</v>
      </c>
      <c r="B7" s="7" t="s">
        <v>24</v>
      </c>
      <c r="C7" s="8"/>
    </row>
    <row r="8" spans="1:3" x14ac:dyDescent="0.35">
      <c r="A8" s="7" t="s">
        <v>33</v>
      </c>
      <c r="B8" s="7" t="s">
        <v>50</v>
      </c>
      <c r="C8" s="8"/>
    </row>
  </sheetData>
  <hyperlinks>
    <hyperlink ref="B2" r:id="rId1" xr:uid="{0BC7C10B-7B7A-48A6-9D36-B56DA071A30E}"/>
    <hyperlink ref="B3" r:id="rId2" xr:uid="{3164A353-6C92-4D98-8100-ACE05CC0CBA2}"/>
    <hyperlink ref="B4" r:id="rId3" xr:uid="{214F8C97-FC17-477C-B36E-2BE02404CC0B}"/>
    <hyperlink ref="B5" r:id="rId4" xr:uid="{EF74284A-D4B8-4AD2-9ED9-8F2E120FCD29}"/>
    <hyperlink ref="B6" r:id="rId5" xr:uid="{747E2E00-1EB2-4939-8FF4-12F1616580C2}"/>
    <hyperlink ref="B7" r:id="rId6" xr:uid="{C4957F97-628D-4380-B856-5F00DBEF510E}"/>
    <hyperlink ref="B8" r:id="rId7" xr:uid="{7BADA670-9709-45D0-8897-FCB5E840815B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541DC-0096-4682-8BF2-CBDEA0946D9B}">
  <sheetPr codeName="Sheet4"/>
  <dimension ref="A1:C8"/>
  <sheetViews>
    <sheetView workbookViewId="0">
      <selection activeCell="B15" sqref="B15"/>
    </sheetView>
  </sheetViews>
  <sheetFormatPr defaultRowHeight="14.5" x14ac:dyDescent="0.35"/>
  <cols>
    <col min="1" max="1" width="16.36328125" customWidth="1"/>
    <col min="2" max="3" width="29.1796875" customWidth="1"/>
  </cols>
  <sheetData>
    <row r="1" spans="1:3" x14ac:dyDescent="0.35">
      <c r="A1" s="6" t="s">
        <v>0</v>
      </c>
      <c r="B1" s="6" t="s">
        <v>1</v>
      </c>
      <c r="C1" s="6" t="s">
        <v>2</v>
      </c>
    </row>
    <row r="2" spans="1:3" x14ac:dyDescent="0.35">
      <c r="A2" s="7" t="s">
        <v>15</v>
      </c>
      <c r="B2" s="7" t="s">
        <v>20</v>
      </c>
      <c r="C2" s="7"/>
    </row>
    <row r="3" spans="1:3" x14ac:dyDescent="0.35">
      <c r="A3" s="7" t="s">
        <v>16</v>
      </c>
      <c r="B3" s="7" t="s">
        <v>21</v>
      </c>
      <c r="C3" s="7"/>
    </row>
    <row r="4" spans="1:3" x14ac:dyDescent="0.35">
      <c r="A4" s="7" t="s">
        <v>17</v>
      </c>
      <c r="B4" s="7" t="s">
        <v>22</v>
      </c>
      <c r="C4" s="7"/>
    </row>
    <row r="5" spans="1:3" x14ac:dyDescent="0.35">
      <c r="A5" s="7" t="s">
        <v>18</v>
      </c>
      <c r="B5" s="7" t="s">
        <v>23</v>
      </c>
      <c r="C5" s="46"/>
    </row>
    <row r="6" spans="1:3" x14ac:dyDescent="0.35">
      <c r="A6" s="7" t="s">
        <v>31</v>
      </c>
      <c r="B6" s="7" t="s">
        <v>19</v>
      </c>
      <c r="C6" s="46"/>
    </row>
    <row r="7" spans="1:3" x14ac:dyDescent="0.35">
      <c r="A7" s="7" t="s">
        <v>32</v>
      </c>
      <c r="B7" s="7" t="s">
        <v>24</v>
      </c>
      <c r="C7" s="46"/>
    </row>
    <row r="8" spans="1:3" x14ac:dyDescent="0.35">
      <c r="A8" s="7" t="s">
        <v>33</v>
      </c>
      <c r="B8" s="7" t="s">
        <v>50</v>
      </c>
      <c r="C8" s="46"/>
    </row>
  </sheetData>
  <hyperlinks>
    <hyperlink ref="B2" r:id="rId1" xr:uid="{2DFBA83D-F6BF-44A1-A219-4D6FD5934715}"/>
    <hyperlink ref="B3" r:id="rId2" xr:uid="{384FA868-3FF3-4ED0-8DC7-DD6D2A3AD824}"/>
    <hyperlink ref="B4" r:id="rId3" xr:uid="{0A4F9F25-C23B-4867-8E70-44C6E56CA0D2}"/>
    <hyperlink ref="B5" r:id="rId4" xr:uid="{0F774928-B8B7-4AA7-B041-B01EFD2D3F49}"/>
    <hyperlink ref="B6" r:id="rId5" xr:uid="{6B35E6BE-9E8B-4742-A411-6A833D9557CA}"/>
    <hyperlink ref="B7" r:id="rId6" xr:uid="{5567EF6F-B44E-4A2C-9801-F7E3FF4E731F}"/>
    <hyperlink ref="B8" r:id="rId7" xr:uid="{980D3B02-B3CA-4D32-848F-A5088E4EF0E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E29E1-76FF-4A55-91BB-E161AB432884}">
  <sheetPr codeName="Sheet5"/>
  <dimension ref="A1:C8"/>
  <sheetViews>
    <sheetView workbookViewId="0">
      <selection activeCell="C17" sqref="C17"/>
    </sheetView>
  </sheetViews>
  <sheetFormatPr defaultRowHeight="14.5" x14ac:dyDescent="0.35"/>
  <cols>
    <col min="1" max="1" width="16.36328125" customWidth="1"/>
    <col min="2" max="3" width="29.1796875" customWidth="1"/>
  </cols>
  <sheetData>
    <row r="1" spans="1:3" x14ac:dyDescent="0.35">
      <c r="A1" s="6" t="s">
        <v>0</v>
      </c>
      <c r="B1" s="6" t="s">
        <v>1</v>
      </c>
      <c r="C1" s="6" t="s">
        <v>2</v>
      </c>
    </row>
    <row r="2" spans="1:3" x14ac:dyDescent="0.35">
      <c r="A2" s="7" t="s">
        <v>15</v>
      </c>
      <c r="B2" s="7" t="s">
        <v>20</v>
      </c>
      <c r="C2" s="7"/>
    </row>
    <row r="3" spans="1:3" x14ac:dyDescent="0.35">
      <c r="A3" s="7" t="s">
        <v>16</v>
      </c>
      <c r="B3" s="7" t="s">
        <v>21</v>
      </c>
      <c r="C3" s="7"/>
    </row>
    <row r="4" spans="1:3" x14ac:dyDescent="0.35">
      <c r="A4" s="7" t="s">
        <v>17</v>
      </c>
      <c r="B4" s="7" t="s">
        <v>22</v>
      </c>
      <c r="C4" s="7"/>
    </row>
    <row r="5" spans="1:3" x14ac:dyDescent="0.35">
      <c r="A5" s="7" t="s">
        <v>18</v>
      </c>
      <c r="B5" s="7" t="s">
        <v>23</v>
      </c>
      <c r="C5" s="46"/>
    </row>
    <row r="6" spans="1:3" x14ac:dyDescent="0.35">
      <c r="A6" s="7" t="s">
        <v>31</v>
      </c>
      <c r="B6" s="7" t="s">
        <v>19</v>
      </c>
      <c r="C6" s="46"/>
    </row>
    <row r="7" spans="1:3" x14ac:dyDescent="0.35">
      <c r="A7" s="7" t="s">
        <v>32</v>
      </c>
      <c r="B7" s="7" t="s">
        <v>24</v>
      </c>
      <c r="C7" s="46"/>
    </row>
    <row r="8" spans="1:3" x14ac:dyDescent="0.35">
      <c r="A8" s="7" t="s">
        <v>33</v>
      </c>
      <c r="B8" s="7" t="s">
        <v>50</v>
      </c>
      <c r="C8" s="46"/>
    </row>
  </sheetData>
  <hyperlinks>
    <hyperlink ref="B2" r:id="rId1" xr:uid="{10884818-EDA0-43C5-8EED-D063939E9426}"/>
    <hyperlink ref="B3" r:id="rId2" xr:uid="{78846A9F-07D0-499D-9D8D-32EA3806EA96}"/>
    <hyperlink ref="B4" r:id="rId3" xr:uid="{37B37F07-9D03-4A6F-BB54-23B5B2CF5244}"/>
    <hyperlink ref="B5" r:id="rId4" xr:uid="{3E12E8A9-B711-43A5-A80C-39D737E148A2}"/>
    <hyperlink ref="B6" r:id="rId5" xr:uid="{810E7617-0C70-49F5-BC5E-B165C618F43D}"/>
    <hyperlink ref="B7" r:id="rId6" xr:uid="{74C6444A-74CF-4A92-AA22-5D32914DCD17}"/>
    <hyperlink ref="B8" r:id="rId7" xr:uid="{743275BD-0EF2-489F-AA09-CDE10A60CEE4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153BA-D152-4307-A794-1383EF6E2B4A}">
  <sheetPr codeName="Sheet6"/>
  <dimension ref="A1:H5"/>
  <sheetViews>
    <sheetView workbookViewId="0">
      <selection activeCell="H2" sqref="H2:H5"/>
    </sheetView>
  </sheetViews>
  <sheetFormatPr defaultRowHeight="14.5" x14ac:dyDescent="0.35"/>
  <cols>
    <col min="1" max="1" width="11" customWidth="1"/>
    <col min="2" max="5" width="14.81640625" customWidth="1"/>
    <col min="6" max="6" width="29.26953125" customWidth="1"/>
    <col min="7" max="7" width="71.6328125" bestFit="1" customWidth="1"/>
    <col min="8" max="8" width="14.81640625" customWidth="1"/>
  </cols>
  <sheetData>
    <row r="1" spans="1:8" x14ac:dyDescent="0.35">
      <c r="A1" s="2" t="s">
        <v>0</v>
      </c>
      <c r="B1" s="2" t="s">
        <v>1</v>
      </c>
      <c r="C1" s="2" t="s">
        <v>10</v>
      </c>
      <c r="D1" s="2" t="s">
        <v>11</v>
      </c>
      <c r="E1" s="2" t="s">
        <v>12</v>
      </c>
      <c r="F1" s="2" t="s">
        <v>13</v>
      </c>
      <c r="G1" s="2" t="s">
        <v>14</v>
      </c>
      <c r="H1" s="2" t="s">
        <v>2</v>
      </c>
    </row>
    <row r="2" spans="1:8" x14ac:dyDescent="0.35">
      <c r="A2" t="s">
        <v>15</v>
      </c>
      <c r="B2" s="1" t="s">
        <v>20</v>
      </c>
      <c r="C2" s="1" t="s">
        <v>19</v>
      </c>
      <c r="D2" s="1" t="s">
        <v>24</v>
      </c>
      <c r="E2" t="s">
        <v>25</v>
      </c>
      <c r="F2" t="str">
        <f>"Dear "&amp;A2&amp; ", Here are the MOM's."</f>
        <v>Dear A, Here are the MOM's.</v>
      </c>
      <c r="G2" t="s">
        <v>26</v>
      </c>
    </row>
    <row r="3" spans="1:8" x14ac:dyDescent="0.35">
      <c r="A3" t="s">
        <v>16</v>
      </c>
      <c r="B3" s="1" t="s">
        <v>21</v>
      </c>
      <c r="C3" s="1" t="s">
        <v>19</v>
      </c>
      <c r="D3" s="1" t="s">
        <v>24</v>
      </c>
      <c r="E3" t="s">
        <v>25</v>
      </c>
      <c r="F3" t="str">
        <f t="shared" ref="F3:F5" si="0">"Dear "&amp;A3&amp; ", Here are the MOM's."</f>
        <v>Dear B, Here are the MOM's.</v>
      </c>
      <c r="G3" t="s">
        <v>26</v>
      </c>
    </row>
    <row r="4" spans="1:8" x14ac:dyDescent="0.35">
      <c r="A4" t="s">
        <v>17</v>
      </c>
      <c r="B4" s="1" t="s">
        <v>22</v>
      </c>
      <c r="C4" s="1" t="s">
        <v>19</v>
      </c>
      <c r="D4" s="1" t="s">
        <v>24</v>
      </c>
      <c r="E4" t="s">
        <v>25</v>
      </c>
      <c r="F4" t="str">
        <f t="shared" si="0"/>
        <v>Dear C, Here are the MOM's.</v>
      </c>
      <c r="G4" t="s">
        <v>26</v>
      </c>
    </row>
    <row r="5" spans="1:8" x14ac:dyDescent="0.35">
      <c r="A5" t="s">
        <v>18</v>
      </c>
      <c r="B5" s="1" t="s">
        <v>23</v>
      </c>
      <c r="C5" s="1" t="s">
        <v>19</v>
      </c>
      <c r="D5" s="1" t="s">
        <v>24</v>
      </c>
      <c r="E5" t="s">
        <v>25</v>
      </c>
      <c r="F5" t="str">
        <f t="shared" si="0"/>
        <v>Dear D, Here are the MOM's.</v>
      </c>
      <c r="G5" t="s">
        <v>26</v>
      </c>
    </row>
  </sheetData>
  <hyperlinks>
    <hyperlink ref="C2" r:id="rId1" xr:uid="{A6575AF0-53B7-4390-B260-BB4FF7AB3A40}"/>
    <hyperlink ref="B2" r:id="rId2" xr:uid="{F2F8FBDF-F054-4B23-9624-0F71121A4070}"/>
    <hyperlink ref="B3" r:id="rId3" xr:uid="{DB4E78E1-CE0E-460C-98FD-9F6C892CB625}"/>
    <hyperlink ref="B4" r:id="rId4" xr:uid="{6C7EA47C-3DCD-485C-8D90-FBCB3AE530BB}"/>
    <hyperlink ref="B5" r:id="rId5" xr:uid="{376488B2-8827-4CD6-91AB-9D108C20F009}"/>
    <hyperlink ref="C3:C5" r:id="rId6" display="E@gmail.com" xr:uid="{13278CF1-E3C7-40EA-8CB3-4A43FAB50F1C}"/>
    <hyperlink ref="D2" r:id="rId7" xr:uid="{110D07B9-4E8B-4A2E-9A28-CAB9E8021B9C}"/>
    <hyperlink ref="D3:D5" r:id="rId8" display="F@gmail.com" xr:uid="{8EE67332-AF25-4CA8-9AF0-33A76F33CCA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CA15-FAA7-4394-BC99-AF52C7559F93}">
  <sheetPr codeName="Sheet7"/>
  <dimension ref="A1:C18"/>
  <sheetViews>
    <sheetView zoomScale="90" workbookViewId="0">
      <selection activeCell="E16" sqref="E16"/>
    </sheetView>
  </sheetViews>
  <sheetFormatPr defaultRowHeight="14.5" x14ac:dyDescent="0.35"/>
  <cols>
    <col min="1" max="3" width="12.453125" style="4" customWidth="1"/>
    <col min="4" max="16384" width="8.7265625" style="5"/>
  </cols>
  <sheetData>
    <row r="1" spans="1:3" x14ac:dyDescent="0.35">
      <c r="A1" s="9" t="s">
        <v>28</v>
      </c>
      <c r="B1" s="10" t="s">
        <v>29</v>
      </c>
      <c r="C1" s="11" t="s">
        <v>30</v>
      </c>
    </row>
    <row r="2" spans="1:3" x14ac:dyDescent="0.35">
      <c r="A2" s="12" t="s">
        <v>15</v>
      </c>
      <c r="B2" s="7" t="s">
        <v>34</v>
      </c>
      <c r="C2" s="13">
        <v>0.9</v>
      </c>
    </row>
    <row r="3" spans="1:3" x14ac:dyDescent="0.35">
      <c r="A3" s="12" t="s">
        <v>16</v>
      </c>
      <c r="B3" s="7" t="s">
        <v>35</v>
      </c>
      <c r="C3" s="13">
        <v>0.9</v>
      </c>
    </row>
    <row r="4" spans="1:3" x14ac:dyDescent="0.35">
      <c r="A4" s="12" t="s">
        <v>17</v>
      </c>
      <c r="B4" s="7" t="s">
        <v>36</v>
      </c>
      <c r="C4" s="13">
        <v>0.95</v>
      </c>
    </row>
    <row r="5" spans="1:3" x14ac:dyDescent="0.35">
      <c r="A5" s="12" t="s">
        <v>18</v>
      </c>
      <c r="B5" s="7" t="s">
        <v>37</v>
      </c>
      <c r="C5" s="13">
        <v>0.99</v>
      </c>
    </row>
    <row r="6" spans="1:3" x14ac:dyDescent="0.35">
      <c r="A6" s="12" t="s">
        <v>31</v>
      </c>
      <c r="B6" s="7" t="s">
        <v>38</v>
      </c>
      <c r="C6" s="13">
        <v>0.9</v>
      </c>
    </row>
    <row r="7" spans="1:3" x14ac:dyDescent="0.35">
      <c r="A7" s="12" t="s">
        <v>32</v>
      </c>
      <c r="B7" s="7" t="s">
        <v>39</v>
      </c>
      <c r="C7" s="13">
        <v>0.95</v>
      </c>
    </row>
    <row r="8" spans="1:3" ht="15" thickBot="1" x14ac:dyDescent="0.4">
      <c r="A8" s="14" t="s">
        <v>33</v>
      </c>
      <c r="B8" s="15" t="s">
        <v>40</v>
      </c>
      <c r="C8" s="16">
        <v>0.9</v>
      </c>
    </row>
    <row r="10" spans="1:3" ht="15" thickBot="1" x14ac:dyDescent="0.4"/>
    <row r="11" spans="1:3" x14ac:dyDescent="0.35">
      <c r="A11" s="9" t="s">
        <v>28</v>
      </c>
      <c r="B11" s="10" t="s">
        <v>41</v>
      </c>
      <c r="C11" s="11" t="s">
        <v>42</v>
      </c>
    </row>
    <row r="12" spans="1:3" x14ac:dyDescent="0.35">
      <c r="A12" s="12" t="s">
        <v>15</v>
      </c>
      <c r="B12" s="7" t="s">
        <v>43</v>
      </c>
      <c r="C12" s="17">
        <v>45688</v>
      </c>
    </row>
    <row r="13" spans="1:3" x14ac:dyDescent="0.35">
      <c r="A13" s="12" t="s">
        <v>16</v>
      </c>
      <c r="B13" s="7" t="s">
        <v>44</v>
      </c>
      <c r="C13" s="17">
        <v>45716</v>
      </c>
    </row>
    <row r="14" spans="1:3" x14ac:dyDescent="0.35">
      <c r="A14" s="12" t="s">
        <v>17</v>
      </c>
      <c r="B14" s="7" t="s">
        <v>45</v>
      </c>
      <c r="C14" s="17">
        <v>45708</v>
      </c>
    </row>
    <row r="15" spans="1:3" x14ac:dyDescent="0.35">
      <c r="A15" s="12" t="s">
        <v>18</v>
      </c>
      <c r="B15" s="7" t="s">
        <v>46</v>
      </c>
      <c r="C15" s="17">
        <v>45703</v>
      </c>
    </row>
    <row r="16" spans="1:3" x14ac:dyDescent="0.35">
      <c r="A16" s="12" t="s">
        <v>31</v>
      </c>
      <c r="B16" s="7" t="s">
        <v>47</v>
      </c>
      <c r="C16" s="17">
        <v>45688</v>
      </c>
    </row>
    <row r="17" spans="1:3" x14ac:dyDescent="0.35">
      <c r="A17" s="12" t="s">
        <v>32</v>
      </c>
      <c r="B17" s="7" t="s">
        <v>48</v>
      </c>
      <c r="C17" s="17">
        <v>45716</v>
      </c>
    </row>
    <row r="18" spans="1:3" ht="15" thickBot="1" x14ac:dyDescent="0.4">
      <c r="A18" s="14" t="s">
        <v>33</v>
      </c>
      <c r="B18" s="15" t="s">
        <v>49</v>
      </c>
      <c r="C18" s="18">
        <v>45708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CEB21-C535-4491-8C4D-D15E9D7A0E23}">
  <sheetPr codeName="Sheet8"/>
  <dimension ref="A1:B3"/>
  <sheetViews>
    <sheetView workbookViewId="0">
      <selection activeCell="F13" sqref="F13"/>
    </sheetView>
  </sheetViews>
  <sheetFormatPr defaultRowHeight="14.5" x14ac:dyDescent="0.35"/>
  <cols>
    <col min="1" max="1" width="55.1796875" customWidth="1"/>
  </cols>
  <sheetData>
    <row r="1" spans="1:2" ht="33.5" x14ac:dyDescent="0.75">
      <c r="A1" s="19" t="s">
        <v>52</v>
      </c>
    </row>
    <row r="2" spans="1:2" ht="18.5" x14ac:dyDescent="0.45">
      <c r="A2" s="20" t="str">
        <f>"Send the Payslips for the month of " &amp; A1</f>
        <v>Send the Payslips for the month of January 2025</v>
      </c>
    </row>
    <row r="3" spans="1:2" x14ac:dyDescent="0.35">
      <c r="A3" s="42" t="s">
        <v>117</v>
      </c>
      <c r="B3" t="s">
        <v>118</v>
      </c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2BF0E-3A49-4808-BB80-CCEB71BE154D}">
  <sheetPr codeName="Sheet9"/>
  <dimension ref="A1:Q16"/>
  <sheetViews>
    <sheetView zoomScale="72" workbookViewId="0">
      <selection activeCell="F13" sqref="F13"/>
    </sheetView>
  </sheetViews>
  <sheetFormatPr defaultRowHeight="14.5" x14ac:dyDescent="0.35"/>
  <cols>
    <col min="1" max="1" width="16.54296875" style="37" customWidth="1"/>
    <col min="2" max="2" width="15.81640625" style="37" bestFit="1" customWidth="1"/>
    <col min="3" max="3" width="10.7265625" style="37" bestFit="1" customWidth="1"/>
    <col min="4" max="4" width="12.26953125" style="37" customWidth="1"/>
    <col min="5" max="5" width="12.6328125" style="37" customWidth="1"/>
    <col min="6" max="6" width="20.81640625" style="37" bestFit="1" customWidth="1"/>
    <col min="7" max="7" width="10.90625" style="37" bestFit="1" customWidth="1"/>
    <col min="8" max="8" width="8.7265625" style="37"/>
    <col min="9" max="9" width="10.54296875" style="37" customWidth="1"/>
    <col min="10" max="10" width="16.6328125" style="37" customWidth="1"/>
    <col min="11" max="11" width="12.26953125" style="37" customWidth="1"/>
    <col min="12" max="12" width="8.7265625" style="37"/>
    <col min="13" max="13" width="11.1796875" style="37" customWidth="1"/>
    <col min="14" max="14" width="12.54296875" style="37" customWidth="1"/>
    <col min="15" max="16384" width="8.7265625" style="37"/>
  </cols>
  <sheetData>
    <row r="1" spans="1:17" s="36" customFormat="1" ht="29" x14ac:dyDescent="0.35">
      <c r="A1" s="35" t="s">
        <v>116</v>
      </c>
      <c r="B1" s="35" t="s">
        <v>61</v>
      </c>
      <c r="C1" s="35" t="s">
        <v>62</v>
      </c>
      <c r="D1" s="35" t="s">
        <v>53</v>
      </c>
      <c r="E1" s="35" t="s">
        <v>54</v>
      </c>
      <c r="F1" s="35" t="s">
        <v>55</v>
      </c>
      <c r="G1" s="35" t="s">
        <v>56</v>
      </c>
      <c r="H1" s="25" t="s">
        <v>65</v>
      </c>
      <c r="I1" s="25" t="s">
        <v>70</v>
      </c>
      <c r="J1" s="25" t="s">
        <v>57</v>
      </c>
      <c r="K1" s="25" t="s">
        <v>68</v>
      </c>
      <c r="L1" s="25" t="s">
        <v>72</v>
      </c>
      <c r="M1" s="25" t="s">
        <v>67</v>
      </c>
      <c r="N1" s="25" t="s">
        <v>66</v>
      </c>
      <c r="O1" s="25" t="s">
        <v>69</v>
      </c>
      <c r="P1" s="25" t="s">
        <v>71</v>
      </c>
      <c r="Q1" s="25" t="s">
        <v>73</v>
      </c>
    </row>
    <row r="2" spans="1:17" s="29" customFormat="1" ht="24" x14ac:dyDescent="0.35">
      <c r="A2" s="39" t="s">
        <v>106</v>
      </c>
      <c r="B2" s="30" t="s">
        <v>79</v>
      </c>
      <c r="C2" s="32">
        <v>33533</v>
      </c>
      <c r="D2" s="33" t="s">
        <v>89</v>
      </c>
      <c r="E2" s="29" t="s">
        <v>93</v>
      </c>
      <c r="F2" s="31" t="s">
        <v>96</v>
      </c>
      <c r="H2" s="29">
        <v>989182</v>
      </c>
      <c r="I2" s="29">
        <v>5053</v>
      </c>
      <c r="J2" s="29">
        <v>4684</v>
      </c>
      <c r="K2" s="29">
        <v>397</v>
      </c>
      <c r="L2" s="29">
        <v>177</v>
      </c>
      <c r="M2" s="29">
        <v>50000</v>
      </c>
      <c r="N2" s="29">
        <v>100</v>
      </c>
      <c r="O2" s="29">
        <v>15000</v>
      </c>
      <c r="P2" s="29">
        <v>0</v>
      </c>
      <c r="Q2" s="29">
        <v>0</v>
      </c>
    </row>
    <row r="3" spans="1:17" s="29" customFormat="1" ht="24" x14ac:dyDescent="0.35">
      <c r="A3" s="39" t="s">
        <v>107</v>
      </c>
      <c r="B3" s="30" t="s">
        <v>80</v>
      </c>
      <c r="C3" s="32">
        <v>33618</v>
      </c>
      <c r="D3" s="34" t="s">
        <v>78</v>
      </c>
      <c r="E3" s="29" t="s">
        <v>93</v>
      </c>
      <c r="F3" s="31" t="s">
        <v>97</v>
      </c>
      <c r="H3" s="29">
        <v>779928</v>
      </c>
      <c r="I3" s="29">
        <v>75447</v>
      </c>
      <c r="J3" s="29">
        <v>4689</v>
      </c>
      <c r="K3" s="29">
        <v>472</v>
      </c>
      <c r="L3" s="29">
        <v>127</v>
      </c>
      <c r="M3" s="29">
        <v>60000</v>
      </c>
      <c r="N3" s="29">
        <v>200</v>
      </c>
      <c r="O3" s="29">
        <v>20000</v>
      </c>
      <c r="P3" s="29">
        <v>0</v>
      </c>
      <c r="Q3" s="29">
        <v>0</v>
      </c>
    </row>
    <row r="4" spans="1:17" s="29" customFormat="1" ht="24" x14ac:dyDescent="0.35">
      <c r="A4" s="39" t="s">
        <v>108</v>
      </c>
      <c r="B4" s="30" t="s">
        <v>81</v>
      </c>
      <c r="C4" s="32">
        <v>33749</v>
      </c>
      <c r="D4" s="33" t="s">
        <v>90</v>
      </c>
      <c r="E4" s="29" t="s">
        <v>95</v>
      </c>
      <c r="F4" s="29" t="s">
        <v>98</v>
      </c>
      <c r="H4" s="29">
        <v>403232</v>
      </c>
      <c r="I4" s="29">
        <v>9895</v>
      </c>
      <c r="J4" s="29">
        <v>2336</v>
      </c>
      <c r="K4" s="29">
        <v>496</v>
      </c>
      <c r="L4" s="29">
        <v>496</v>
      </c>
      <c r="M4" s="29">
        <v>70000</v>
      </c>
      <c r="N4" s="29">
        <v>300</v>
      </c>
      <c r="O4" s="29">
        <v>12000</v>
      </c>
      <c r="P4" s="29">
        <v>0</v>
      </c>
      <c r="Q4" s="29">
        <v>0</v>
      </c>
    </row>
    <row r="5" spans="1:17" s="29" customFormat="1" ht="24" x14ac:dyDescent="0.35">
      <c r="A5" s="39" t="s">
        <v>109</v>
      </c>
      <c r="B5" s="30" t="s">
        <v>82</v>
      </c>
      <c r="C5" s="32">
        <v>33754</v>
      </c>
      <c r="D5" s="33" t="s">
        <v>91</v>
      </c>
      <c r="E5" s="29" t="s">
        <v>94</v>
      </c>
      <c r="F5" s="29" t="s">
        <v>103</v>
      </c>
      <c r="H5" s="29">
        <v>535823</v>
      </c>
      <c r="I5" s="29">
        <v>14634</v>
      </c>
      <c r="J5" s="29">
        <v>3255</v>
      </c>
      <c r="K5" s="29">
        <v>423</v>
      </c>
      <c r="L5" s="29">
        <v>226</v>
      </c>
      <c r="M5" s="29">
        <v>100000</v>
      </c>
      <c r="N5" s="29">
        <v>400</v>
      </c>
      <c r="O5" s="29">
        <v>15000</v>
      </c>
      <c r="P5" s="29">
        <v>0</v>
      </c>
      <c r="Q5" s="29">
        <v>0</v>
      </c>
    </row>
    <row r="6" spans="1:17" s="29" customFormat="1" ht="24" x14ac:dyDescent="0.35">
      <c r="A6" s="39" t="s">
        <v>110</v>
      </c>
      <c r="B6" s="30" t="s">
        <v>83</v>
      </c>
      <c r="C6" s="32">
        <v>33784</v>
      </c>
      <c r="D6" s="34" t="s">
        <v>78</v>
      </c>
      <c r="E6" s="29" t="s">
        <v>93</v>
      </c>
      <c r="F6" s="29" t="s">
        <v>99</v>
      </c>
      <c r="H6" s="29">
        <v>359329</v>
      </c>
      <c r="I6" s="29">
        <v>71545</v>
      </c>
      <c r="J6" s="29">
        <v>4255</v>
      </c>
      <c r="K6" s="29">
        <v>394</v>
      </c>
      <c r="L6" s="29">
        <v>200</v>
      </c>
      <c r="M6" s="29">
        <v>120000</v>
      </c>
      <c r="N6" s="29">
        <v>500</v>
      </c>
      <c r="O6" s="29">
        <v>20000</v>
      </c>
      <c r="P6" s="29">
        <v>0</v>
      </c>
      <c r="Q6" s="29">
        <v>0</v>
      </c>
    </row>
    <row r="7" spans="1:17" s="29" customFormat="1" ht="24" x14ac:dyDescent="0.35">
      <c r="A7" s="39" t="s">
        <v>111</v>
      </c>
      <c r="B7" s="30" t="s">
        <v>84</v>
      </c>
      <c r="C7" s="32">
        <v>33803</v>
      </c>
      <c r="D7" s="33" t="s">
        <v>91</v>
      </c>
      <c r="E7" s="29" t="s">
        <v>95</v>
      </c>
      <c r="F7" s="29" t="s">
        <v>100</v>
      </c>
      <c r="H7" s="29">
        <v>679200</v>
      </c>
      <c r="I7" s="29">
        <v>59798</v>
      </c>
      <c r="J7" s="29">
        <v>1030</v>
      </c>
      <c r="K7" s="29">
        <v>140</v>
      </c>
      <c r="L7" s="29">
        <v>210</v>
      </c>
      <c r="M7" s="29">
        <v>70000</v>
      </c>
      <c r="N7" s="29">
        <v>600</v>
      </c>
      <c r="O7" s="29">
        <v>12000</v>
      </c>
      <c r="P7" s="29">
        <v>0</v>
      </c>
      <c r="Q7" s="29">
        <v>0</v>
      </c>
    </row>
    <row r="8" spans="1:17" s="29" customFormat="1" ht="24" x14ac:dyDescent="0.35">
      <c r="A8" s="39" t="s">
        <v>112</v>
      </c>
      <c r="B8" s="30" t="s">
        <v>85</v>
      </c>
      <c r="C8" s="32">
        <v>33837</v>
      </c>
      <c r="D8" s="33" t="s">
        <v>92</v>
      </c>
      <c r="E8" s="29" t="s">
        <v>94</v>
      </c>
      <c r="F8" s="29" t="s">
        <v>104</v>
      </c>
      <c r="H8" s="29">
        <v>589421</v>
      </c>
      <c r="I8" s="29">
        <v>66957</v>
      </c>
      <c r="J8" s="29">
        <v>3584</v>
      </c>
      <c r="K8" s="29">
        <v>237</v>
      </c>
      <c r="L8" s="29">
        <v>107</v>
      </c>
      <c r="M8" s="29">
        <v>85000</v>
      </c>
      <c r="N8" s="29">
        <v>700</v>
      </c>
      <c r="O8" s="29">
        <v>15000</v>
      </c>
      <c r="P8" s="29">
        <v>0</v>
      </c>
      <c r="Q8" s="29">
        <v>0</v>
      </c>
    </row>
    <row r="9" spans="1:17" s="29" customFormat="1" ht="24" x14ac:dyDescent="0.35">
      <c r="A9" s="39" t="s">
        <v>113</v>
      </c>
      <c r="B9" s="30" t="s">
        <v>86</v>
      </c>
      <c r="C9" s="32">
        <v>33866</v>
      </c>
      <c r="D9" s="34" t="s">
        <v>78</v>
      </c>
      <c r="E9" s="29" t="s">
        <v>93</v>
      </c>
      <c r="F9" s="29" t="s">
        <v>101</v>
      </c>
      <c r="H9" s="29">
        <v>797635</v>
      </c>
      <c r="I9" s="29">
        <v>68766</v>
      </c>
      <c r="J9" s="29">
        <v>1333</v>
      </c>
      <c r="K9" s="29">
        <v>465</v>
      </c>
      <c r="L9" s="29">
        <v>316</v>
      </c>
      <c r="M9" s="29">
        <v>70000</v>
      </c>
      <c r="N9" s="29">
        <v>800</v>
      </c>
      <c r="O9" s="29">
        <v>12000</v>
      </c>
      <c r="P9" s="29">
        <v>0</v>
      </c>
      <c r="Q9" s="29">
        <v>0</v>
      </c>
    </row>
    <row r="10" spans="1:17" s="29" customFormat="1" ht="24" x14ac:dyDescent="0.35">
      <c r="A10" s="39" t="s">
        <v>114</v>
      </c>
      <c r="B10" s="30" t="s">
        <v>87</v>
      </c>
      <c r="C10" s="32">
        <v>33884</v>
      </c>
      <c r="D10" s="33" t="s">
        <v>89</v>
      </c>
      <c r="E10" s="29" t="s">
        <v>93</v>
      </c>
      <c r="F10" s="29" t="s">
        <v>102</v>
      </c>
      <c r="H10" s="29">
        <v>580721</v>
      </c>
      <c r="I10" s="29">
        <v>84267</v>
      </c>
      <c r="J10" s="29">
        <v>4986</v>
      </c>
      <c r="K10" s="29">
        <v>252</v>
      </c>
      <c r="L10" s="29">
        <v>225</v>
      </c>
      <c r="M10" s="29">
        <v>95000</v>
      </c>
      <c r="N10" s="29">
        <v>900</v>
      </c>
      <c r="O10" s="29">
        <v>20000</v>
      </c>
      <c r="P10" s="29">
        <v>0</v>
      </c>
      <c r="Q10" s="29">
        <v>0</v>
      </c>
    </row>
    <row r="11" spans="1:17" s="29" customFormat="1" ht="24" x14ac:dyDescent="0.35">
      <c r="A11" s="39" t="s">
        <v>115</v>
      </c>
      <c r="B11" s="29" t="s">
        <v>88</v>
      </c>
      <c r="C11" s="32">
        <v>33884</v>
      </c>
      <c r="D11" s="34" t="s">
        <v>78</v>
      </c>
      <c r="E11" s="29" t="s">
        <v>93</v>
      </c>
      <c r="F11" s="29" t="s">
        <v>105</v>
      </c>
      <c r="H11" s="29">
        <v>491039</v>
      </c>
      <c r="I11" s="29">
        <v>81822</v>
      </c>
      <c r="J11" s="29">
        <v>3633</v>
      </c>
      <c r="K11" s="29">
        <v>213</v>
      </c>
      <c r="L11" s="29">
        <v>324</v>
      </c>
      <c r="M11" s="29">
        <v>90000</v>
      </c>
      <c r="N11" s="29">
        <v>1000</v>
      </c>
      <c r="O11" s="29">
        <v>15000</v>
      </c>
      <c r="P11" s="29">
        <v>0</v>
      </c>
      <c r="Q11" s="29">
        <v>0</v>
      </c>
    </row>
    <row r="12" spans="1:17" x14ac:dyDescent="0.35">
      <c r="C12" s="38"/>
    </row>
    <row r="13" spans="1:17" x14ac:dyDescent="0.35">
      <c r="C13" s="38"/>
    </row>
    <row r="14" spans="1:17" x14ac:dyDescent="0.35">
      <c r="C14" s="38"/>
    </row>
    <row r="15" spans="1:17" x14ac:dyDescent="0.35">
      <c r="C15" s="38"/>
    </row>
    <row r="16" spans="1:17" x14ac:dyDescent="0.35">
      <c r="C16" s="38"/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27084-9FC7-48DB-B161-10C5CED8FDEE}">
  <sheetPr codeName="Sheet10"/>
  <dimension ref="A1:E22"/>
  <sheetViews>
    <sheetView zoomScale="71" workbookViewId="0">
      <selection activeCell="F13" sqref="F13"/>
    </sheetView>
  </sheetViews>
  <sheetFormatPr defaultRowHeight="14.5" x14ac:dyDescent="0.35"/>
  <cols>
    <col min="1" max="1" width="4.54296875" customWidth="1"/>
    <col min="2" max="5" width="18.08984375" customWidth="1"/>
  </cols>
  <sheetData>
    <row r="1" spans="1:5" ht="26" x14ac:dyDescent="0.35">
      <c r="A1" s="21" t="s">
        <v>59</v>
      </c>
      <c r="B1" s="21"/>
      <c r="C1" s="21"/>
      <c r="D1" s="21"/>
      <c r="E1" s="21"/>
    </row>
    <row r="3" spans="1:5" x14ac:dyDescent="0.35">
      <c r="B3" t="s">
        <v>106</v>
      </c>
    </row>
    <row r="4" spans="1:5" x14ac:dyDescent="0.35">
      <c r="C4" s="22" t="s">
        <v>60</v>
      </c>
      <c r="D4" s="23" t="s">
        <v>106</v>
      </c>
    </row>
    <row r="5" spans="1:5" x14ac:dyDescent="0.35">
      <c r="C5" s="22" t="s">
        <v>61</v>
      </c>
      <c r="D5" s="23" t="str">
        <f>IFERROR(VLOOKUP($D$4,'Employee Data'!$A:$Q,MATCH(C5,'Employee Data'!$1:$1,0),0),"")</f>
        <v>Krista Orcutt</v>
      </c>
    </row>
    <row r="6" spans="1:5" x14ac:dyDescent="0.35">
      <c r="C6" s="22" t="s">
        <v>54</v>
      </c>
      <c r="D6" s="23" t="str">
        <f>IFERROR(VLOOKUP($D$4,'Employee Data'!$A:$Q,MATCH(C6,'Employee Data'!$1:$1,0),0),"")</f>
        <v>IT</v>
      </c>
    </row>
    <row r="7" spans="1:5" x14ac:dyDescent="0.35">
      <c r="C7" s="22" t="s">
        <v>53</v>
      </c>
      <c r="D7" s="23" t="str">
        <f>IFERROR(VLOOKUP($D$4,'Employee Data'!$A:$Q,MATCH(C7,'Employee Data'!$1:$1,0),0),"")</f>
        <v>Data Analyst</v>
      </c>
    </row>
    <row r="8" spans="1:5" x14ac:dyDescent="0.35">
      <c r="C8" s="22" t="s">
        <v>62</v>
      </c>
      <c r="D8" s="40">
        <f>IFERROR(VLOOKUP($D$4,'Employee Data'!$A:$Q,MATCH(C8,'Employee Data'!$1:$1,0),0),"")</f>
        <v>33533</v>
      </c>
    </row>
    <row r="9" spans="1:5" x14ac:dyDescent="0.35">
      <c r="C9" s="22" t="s">
        <v>63</v>
      </c>
      <c r="D9" s="41">
        <v>45962</v>
      </c>
    </row>
    <row r="12" spans="1:5" x14ac:dyDescent="0.35">
      <c r="B12" s="24" t="s">
        <v>64</v>
      </c>
      <c r="C12" s="24" t="s">
        <v>119</v>
      </c>
      <c r="D12" s="24" t="s">
        <v>58</v>
      </c>
      <c r="E12" s="24" t="s">
        <v>119</v>
      </c>
    </row>
    <row r="13" spans="1:5" x14ac:dyDescent="0.35">
      <c r="B13" s="25" t="s">
        <v>65</v>
      </c>
      <c r="C13" s="43">
        <f>IFERROR(VLOOKUP($D$4,'Employee Data'!$A:$Q,MATCH(B13,'Employee Data'!$1:$1,0),0),"")</f>
        <v>989182</v>
      </c>
      <c r="D13" s="25" t="s">
        <v>66</v>
      </c>
      <c r="E13" s="43">
        <f>IFERROR(VLOOKUP($D$4,'Employee Data'!$A:$Q,MATCH(D13,'Employee Data'!$1:$1,0),0),"")</f>
        <v>100</v>
      </c>
    </row>
    <row r="14" spans="1:5" x14ac:dyDescent="0.35">
      <c r="B14" s="25" t="s">
        <v>57</v>
      </c>
      <c r="C14" s="43">
        <f>IFERROR(VLOOKUP($D$4,'Employee Data'!$A:$Q,MATCH(B14,'Employee Data'!$1:$1,0),0),"")</f>
        <v>4684</v>
      </c>
      <c r="D14" s="25" t="s">
        <v>67</v>
      </c>
      <c r="E14" s="43">
        <f>IFERROR(VLOOKUP($D$4,'Employee Data'!$A:$Q,MATCH(D14,'Employee Data'!$1:$1,0),0),"")</f>
        <v>50000</v>
      </c>
    </row>
    <row r="15" spans="1:5" x14ac:dyDescent="0.35">
      <c r="B15" s="25" t="s">
        <v>68</v>
      </c>
      <c r="C15" s="43">
        <f>IFERROR(VLOOKUP($D$4,'Employee Data'!$A:$Q,MATCH(B15,'Employee Data'!$1:$1,0),0),"")</f>
        <v>397</v>
      </c>
      <c r="D15" s="25" t="s">
        <v>69</v>
      </c>
      <c r="E15" s="43">
        <f>IFERROR(VLOOKUP($D$4,'Employee Data'!$A:$Q,MATCH(D15,'Employee Data'!$1:$1,0),0),"")</f>
        <v>15000</v>
      </c>
    </row>
    <row r="16" spans="1:5" x14ac:dyDescent="0.35">
      <c r="B16" s="25" t="s">
        <v>70</v>
      </c>
      <c r="C16" s="43">
        <f>IFERROR(VLOOKUP($D$4,'Employee Data'!$A:$Q,MATCH(B16,'Employee Data'!$1:$1,0),0),"")</f>
        <v>5053</v>
      </c>
      <c r="D16" s="25" t="s">
        <v>71</v>
      </c>
      <c r="E16" s="43">
        <f>IFERROR(VLOOKUP($D$4,'Employee Data'!$A:$Q,MATCH(D16,'Employee Data'!$1:$1,0),0),"")</f>
        <v>0</v>
      </c>
    </row>
    <row r="17" spans="2:5" x14ac:dyDescent="0.35">
      <c r="B17" s="25" t="s">
        <v>72</v>
      </c>
      <c r="C17" s="43">
        <f>IFERROR(VLOOKUP($D$4,'Employee Data'!$A:$Q,MATCH(B17,'Employee Data'!$1:$1,0),0),"")</f>
        <v>177</v>
      </c>
      <c r="D17" s="25" t="s">
        <v>73</v>
      </c>
      <c r="E17" s="43">
        <f>IFERROR(VLOOKUP($D$4,'Employee Data'!$A:$Q,MATCH(D17,'Employee Data'!$1:$1,0),0),"")</f>
        <v>0</v>
      </c>
    </row>
    <row r="18" spans="2:5" ht="15" thickBot="1" x14ac:dyDescent="0.4">
      <c r="B18" s="26" t="s">
        <v>74</v>
      </c>
      <c r="C18" s="44">
        <f>SUM(C13:C17)</f>
        <v>999493</v>
      </c>
      <c r="D18" s="26" t="s">
        <v>75</v>
      </c>
      <c r="E18" s="44">
        <f>SUM(E13:E17)</f>
        <v>65100</v>
      </c>
    </row>
    <row r="19" spans="2:5" ht="15" thickTop="1" x14ac:dyDescent="0.35"/>
    <row r="21" spans="2:5" x14ac:dyDescent="0.35">
      <c r="B21" s="27" t="s">
        <v>76</v>
      </c>
      <c r="C21" s="27"/>
      <c r="D21" s="27" t="s">
        <v>119</v>
      </c>
      <c r="E21" s="27"/>
    </row>
    <row r="22" spans="2:5" x14ac:dyDescent="0.35">
      <c r="B22" s="28" t="s">
        <v>77</v>
      </c>
      <c r="C22" s="28"/>
      <c r="D22" s="45">
        <f>C18-E18</f>
        <v>934393</v>
      </c>
      <c r="E22" s="45"/>
    </row>
  </sheetData>
  <mergeCells count="5">
    <mergeCell ref="A1:E1"/>
    <mergeCell ref="B21:C21"/>
    <mergeCell ref="D21:E21"/>
    <mergeCell ref="B22:C22"/>
    <mergeCell ref="D22:E2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Email</vt:lpstr>
      <vt:lpstr>Greetings</vt:lpstr>
      <vt:lpstr>Managers</vt:lpstr>
      <vt:lpstr>Employees</vt:lpstr>
      <vt:lpstr>New Hires</vt:lpstr>
      <vt:lpstr>Custom</vt:lpstr>
      <vt:lpstr>Daily Task</vt:lpstr>
      <vt:lpstr>Payslip</vt:lpstr>
      <vt:lpstr>Employee Data</vt:lpstr>
      <vt:lpstr>Template</vt:lpstr>
    </vt:vector>
  </TitlesOfParts>
  <Company>Aon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Kareena Gaba</dc:creator>
  <cp:lastModifiedBy>Kareena Gaba</cp:lastModifiedBy>
  <cp:lastPrinted>2025-01-31T14:04:22Z</cp:lastPrinted>
  <dcterms:created xsi:type="dcterms:W3CDTF">2025-01-25T13:32:20Z</dcterms:created>
  <dcterms:modified xsi:type="dcterms:W3CDTF">2025-01-31T15:04:49Z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043f10a-881e-4653-a55e-02ca2cc829dc_Enabled">
    <vt:lpwstr>true</vt:lpwstr>
  </property>
  <property fmtid="{D5CDD505-2E9C-101B-9397-08002B2CF9AE}" pid="3" name="MSIP_Label_9043f10a-881e-4653-a55e-02ca2cc829dc_SetDate">
    <vt:lpwstr>2025-01-25T13:54:53Z</vt:lpwstr>
  </property>
  <property fmtid="{D5CDD505-2E9C-101B-9397-08002B2CF9AE}" pid="4" name="MSIP_Label_9043f10a-881e-4653-a55e-02ca2cc829dc_Method">
    <vt:lpwstr>Standard</vt:lpwstr>
  </property>
  <property fmtid="{D5CDD505-2E9C-101B-9397-08002B2CF9AE}" pid="5" name="MSIP_Label_9043f10a-881e-4653-a55e-02ca2cc829dc_Name">
    <vt:lpwstr>ADC_class_200</vt:lpwstr>
  </property>
  <property fmtid="{D5CDD505-2E9C-101B-9397-08002B2CF9AE}" pid="6" name="MSIP_Label_9043f10a-881e-4653-a55e-02ca2cc829dc_SiteId">
    <vt:lpwstr>94cfddbc-0627-494a-ad7a-29aea3aea832</vt:lpwstr>
  </property>
  <property fmtid="{D5CDD505-2E9C-101B-9397-08002B2CF9AE}" pid="7" name="MSIP_Label_9043f10a-881e-4653-a55e-02ca2cc829dc_ActionId">
    <vt:lpwstr>29a30641-a21d-48eb-a912-e8934b02e42c</vt:lpwstr>
  </property>
  <property fmtid="{D5CDD505-2E9C-101B-9397-08002B2CF9AE}" pid="8" name="MSIP_Label_9043f10a-881e-4653-a55e-02ca2cc829dc_ContentBits">
    <vt:lpwstr>0</vt:lpwstr>
  </property>
</Properties>
</file>